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Калькулятор" sheetId="2" state="visible" r:id="rId2"/>
    <sheet xmlns:r="http://schemas.openxmlformats.org/officeDocument/2006/relationships" name="Сравнение товаров" sheetId="3" state="visible" r:id="rId3"/>
    <sheet xmlns:r="http://schemas.openxmlformats.org/officeDocument/2006/relationships" name="Справочни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0.0%"/>
    <numFmt numFmtId="166" formatCode="#,##0.00&quot; ₽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2"/>
    </font>
    <font>
      <name val="Calibri"/>
      <sz val="11"/>
    </font>
    <font>
      <name val="Calibri"/>
      <b val="1"/>
      <color rgb="001F3864"/>
      <sz val="12"/>
    </font>
    <font>
      <name val="Calibri"/>
      <i val="1"/>
      <color rgb="00808080"/>
      <sz val="9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1F3864"/>
      <sz val="13"/>
    </font>
    <font>
      <name val="Calibri"/>
      <b val="1"/>
      <color rgb="001F6B2E"/>
      <sz val="16"/>
    </font>
    <font>
      <name val="Calibri"/>
      <b val="1"/>
      <color rgb="001F3864"/>
      <sz val="11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9C65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164" fontId="9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top" wrapText="1"/>
    </xf>
    <xf numFmtId="0" fontId="9" fillId="5" borderId="1" applyAlignment="1" pivotButton="0" quotePrefix="0" xfId="0">
      <alignment horizontal="left" vertical="center"/>
    </xf>
    <xf numFmtId="165" fontId="9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top" wrapText="1"/>
    </xf>
    <xf numFmtId="166" fontId="9" fillId="6" borderId="1" applyAlignment="1" pivotButton="0" quotePrefix="0" xfId="0">
      <alignment horizontal="right" vertical="center"/>
    </xf>
    <xf numFmtId="0" fontId="10" fillId="0" borderId="1" applyAlignment="1" pivotButton="0" quotePrefix="0" xfId="0">
      <alignment vertical="top" wrapText="1"/>
    </xf>
    <xf numFmtId="166" fontId="11" fillId="7" borderId="2" applyAlignment="1" pivotButton="0" quotePrefix="0" xfId="0">
      <alignment horizontal="right" vertical="center"/>
    </xf>
    <xf numFmtId="0" fontId="12" fillId="0" borderId="1" applyAlignment="1" pivotButton="0" quotePrefix="0" xfId="0">
      <alignment vertical="top" wrapText="1"/>
    </xf>
    <xf numFmtId="165" fontId="9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6" fontId="9" fillId="7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166" fontId="9" fillId="0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/>
    </xf>
    <xf numFmtId="0" fontId="0" fillId="5" borderId="1" pivotButton="0" quotePrefix="0" xfId="0"/>
    <xf numFmtId="166" fontId="11" fillId="7" borderId="1" applyAlignment="1" pivotButton="0" quotePrefix="0" xfId="0">
      <alignment horizontal="right" vertical="center"/>
    </xf>
    <xf numFmtId="3" fontId="9" fillId="7" borderId="1" applyAlignment="1" pivotButton="0" quotePrefix="0" xfId="0">
      <alignment horizontal="right" vertical="center"/>
    </xf>
    <xf numFmtId="0" fontId="5" fillId="0" borderId="0" pivotButton="0" quotePrefix="0" xfId="0"/>
    <xf numFmtId="0" fontId="14" fillId="2" borderId="0" applyAlignment="1" pivotButton="0" quotePrefix="0" xfId="0">
      <alignment horizontal="left" vertical="center" indent="1"/>
    </xf>
    <xf numFmtId="0" fontId="15" fillId="6" borderId="0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CE4E4"/>
        </patternFill>
      </fill>
    </dxf>
    <dxf>
      <font>
        <b val="1"/>
        <color rgb="001F6B2E"/>
      </font>
      <fill>
        <patternFill patternType="solid">
          <fgColor rgb="00E2EFDA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00" customWidth="1" min="3" max="3"/>
  </cols>
  <sheetData>
    <row r="2" ht="40" customHeight="1">
      <c r="B2" s="1" t="inlineStr">
        <is>
          <t>КАЛЬКУЛЯТОР UNIT-ЭКОНОМИКИ</t>
        </is>
      </c>
    </row>
    <row r="3" ht="24" customHeight="1">
      <c r="B3" s="2" t="inlineStr">
        <is>
          <t>Wildberries  ·  Ozon  ·  Яндекс Маркет  ·  свой магазин</t>
        </is>
      </c>
    </row>
    <row r="5" ht="8" customHeight="1">
      <c r="B5" s="3" t="inlineStr"/>
    </row>
    <row r="6" ht="32" customHeight="1">
      <c r="B6" s="4" t="inlineStr">
        <is>
          <t>ЧТО ЭТО</t>
        </is>
      </c>
      <c r="C6" s="3" t="inlineStr">
        <is>
          <t>Таблица, которая отвечает на три главных вопроса селлера:</t>
        </is>
      </c>
    </row>
    <row r="7" ht="30" customHeight="1">
      <c r="B7" s="3" t="inlineStr">
        <is>
          <t>1. Сколько я реально зарабатываю с одной продажи — после комиссий, логистики, рекламы, возвратов и налогов.</t>
        </is>
      </c>
    </row>
    <row r="8" ht="16" customHeight="1">
      <c r="B8" s="3" t="inlineStr">
        <is>
          <t>2. Ниже какой цены продавать нельзя вообще — точка безубыточности.</t>
        </is>
      </c>
    </row>
    <row r="9" ht="16" customHeight="1">
      <c r="B9" s="3" t="inlineStr">
        <is>
          <t>3. Какую цену поставить, чтобы получить нужную маржу.</t>
        </is>
      </c>
    </row>
    <row r="10" ht="8" customHeight="1">
      <c r="B10" s="3" t="inlineStr"/>
    </row>
    <row r="11" ht="32" customHeight="1">
      <c r="B11" s="4" t="inlineStr">
        <is>
          <t>КАК ПОЛЬЗОВАТЬСЯ — 3 ШАГА</t>
        </is>
      </c>
      <c r="C11" s="3" t="inlineStr"/>
    </row>
    <row r="12" ht="32" customHeight="1">
      <c r="B12" s="4" t="inlineStr">
        <is>
          <t>Шаг 1</t>
        </is>
      </c>
      <c r="C12" s="3" t="inlineStr">
        <is>
          <t>Откройте лист «Калькулятор». Все СИНИЕ ячейки — это ваши данные. Впишите их. Зелёные ячейки считаются сами, их трогать не нужно.</t>
        </is>
      </c>
    </row>
    <row r="13" ht="32" customHeight="1">
      <c r="B13" s="4" t="inlineStr">
        <is>
          <t>Шаг 2</t>
        </is>
      </c>
      <c r="C13" s="3" t="inlineStr">
        <is>
          <t>Посмотрите на блок «ИТОГ». Если прибыль отрицательная — товар продавать нельзя, поднимайте цену или режьте расходы.</t>
        </is>
      </c>
    </row>
    <row r="14" ht="32" customHeight="1">
      <c r="B14" s="4" t="inlineStr">
        <is>
          <t>Шаг 3</t>
        </is>
      </c>
      <c r="C14" s="3" t="inlineStr">
        <is>
          <t>Перейдите на лист «Сравнение товаров» и впишите до 10 позиций — таблица сама отсортирует их по прибыльности цветом: зелёный = зарабатывает, красный = убыток.</t>
        </is>
      </c>
    </row>
    <row r="15" ht="8" customHeight="1">
      <c r="B15" s="3" t="inlineStr"/>
    </row>
    <row r="16" ht="32" customHeight="1">
      <c r="B16" s="4" t="inlineStr">
        <is>
          <t>ГДЕ ВЗЯТЬ ЦИФРЫ</t>
        </is>
      </c>
      <c r="C16" s="3" t="inlineStr"/>
    </row>
    <row r="17" ht="32" customHeight="1">
      <c r="B17" s="4" t="inlineStr">
        <is>
          <t>Цена продажи</t>
        </is>
      </c>
      <c r="C17" s="3" t="inlineStr">
        <is>
          <t>Та, что стоит в карточке с учётом вашей скидки (не «до скидки»).</t>
        </is>
      </c>
    </row>
    <row r="18" ht="32" customHeight="1">
      <c r="B18" s="4" t="inlineStr">
        <is>
          <t>Себестоимость</t>
        </is>
      </c>
      <c r="C18" s="3" t="inlineStr">
        <is>
          <t>Закупка/производство + доставка до склада + упаковка и маркировка. Считайте по факту прихода, а не по прайсу поставщика.</t>
        </is>
      </c>
    </row>
    <row r="19" ht="32" customHeight="1">
      <c r="B19" s="4" t="inlineStr">
        <is>
          <t>Комиссия площадки</t>
        </is>
      </c>
      <c r="C19" s="3" t="inlineStr">
        <is>
          <t>Смотрите в личном кабинете: WB — отчёт «Реализация», Ozon — «Комиссии и тарифы». По категориям отличается в разы. Лист «Справочник» даёт только ориентир.</t>
        </is>
      </c>
    </row>
    <row r="20" ht="32" customHeight="1">
      <c r="B20" s="4" t="inlineStr">
        <is>
          <t>Логистика</t>
        </is>
      </c>
      <c r="C20" s="3" t="inlineStr">
        <is>
          <t>WB: тариф зависит от литража и способа (FBO/FBS). Ozon: считается по объёму и расстоянию. Берите цифру из отчёта о реализации за прошлый месяц — это точнее любого калькулятора.</t>
        </is>
      </c>
    </row>
    <row r="21" ht="32" customHeight="1">
      <c r="B21" s="4" t="inlineStr">
        <is>
          <t>Процент выкупа</t>
        </is>
      </c>
      <c r="C21" s="3" t="inlineStr">
        <is>
          <t>Самый недооценённый показатель. Одежда/обувь — 30–50%, товары для дома — 85–95%. Каждый невыкупленный товар оплачивает логистику туда и обратно.</t>
        </is>
      </c>
    </row>
    <row r="22" ht="32" customHeight="1">
      <c r="B22" s="4" t="inlineStr">
        <is>
          <t>Реклама (ДРР)</t>
        </is>
      </c>
      <c r="C22" s="3" t="inlineStr">
        <is>
          <t>Доля рекламных расходов в выручке. У новичков часто 20–40%, узрелых карточек 7–15%. Берите из отчёта по рекламным расходам за месяц.</t>
        </is>
      </c>
    </row>
    <row r="23" ht="32" customHeight="1">
      <c r="B23" s="4" t="inlineStr">
        <is>
          <t>Налог</t>
        </is>
      </c>
      <c r="C23" s="3" t="inlineStr">
        <is>
          <t>УСН «Доходы» — 6% (ИП) / 4–6% (НПД). УСН «Доходы минус расходы» — 15% с разницы. АУСН — 8%. В таблице налог считается от цены продажи — это корректно для УСН «Доходы» и НПД.</t>
        </is>
      </c>
    </row>
    <row r="24" ht="8" customHeight="1">
      <c r="B24" s="3" t="inlineStr"/>
    </row>
    <row r="25" ht="32" customHeight="1">
      <c r="B25" s="4" t="inlineStr">
        <is>
          <t>ВАЖНО ПРО НАЛОГ</t>
        </is>
      </c>
      <c r="C25" s="3" t="inlineStr">
        <is>
          <t>Если вы на УСН «Доходы минус расходы», формула налога другая. Замените формулу в строке «Налог» на: (Цена − Себестоимость − Расходы) × 15%. Ячейка не защищена, это можно сделать.</t>
        </is>
      </c>
    </row>
    <row r="26" ht="8" customHeight="1">
      <c r="B26" s="3" t="inlineStr"/>
    </row>
    <row r="27" ht="32" customHeight="1">
      <c r="B27" s="4" t="inlineStr">
        <is>
          <t>ЧЕГО ТАБЛИЦА НЕ УЧИТЫВАЕТ</t>
        </is>
      </c>
      <c r="C27" s="3" t="inlineStr">
        <is>
          <t>Платное хранение сверх лимитов, штрафы площадки, утилизацию, эквайринг при продаже вне маркетплейса, курсовые риски на импорт, зарплату сотрудников. Если что-то из этого у вас есть — впишите в строку «Прочие расходы».</t>
        </is>
      </c>
    </row>
    <row r="28" ht="8" customHeight="1">
      <c r="B28" s="3" t="inlineStr"/>
    </row>
    <row r="29" ht="32" customHeight="1">
      <c r="B29" s="4" t="inlineStr">
        <is>
          <t>ПРОВЕРКА</t>
        </is>
      </c>
      <c r="C29" s="3" t="inlineStr">
        <is>
          <t>Сверьте расчёт с фактом: возьмите отчёт о реализации за месяц и сравните «Прибыль с единицы» из таблицы с реальной разницей между выплатами и закупкой. Если расхождение больше 15% — вы занизили какой-то из расходов. Обычно это логистика или реклама.</t>
        </is>
      </c>
    </row>
    <row r="31" ht="28" customHeight="1">
      <c r="B31" s="5" t="inlineStr">
        <is>
          <t>Версия 1.0 · Все расчёты являются ориентировочными. Тарифы маркетплейсов меняются несколько раз в год — всегда сверяйтесь с личным кабинетом.</t>
        </is>
      </c>
    </row>
  </sheetData>
  <mergeCells count="3">
    <mergeCell ref="B3:C3"/>
    <mergeCell ref="B2:C2"/>
    <mergeCell ref="B31:C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32" customHeight="1">
      <c r="B2" s="6" t="inlineStr">
        <is>
          <t>РАСЧЁТ ПРИБЫЛИ С ОДНОЙ ПРОДАЖИ</t>
        </is>
      </c>
    </row>
    <row r="3">
      <c r="B3" s="7" t="inlineStr">
        <is>
          <t>Синие ячейки — вводите свои данные. Зелёные — считаются автоматически.</t>
        </is>
      </c>
    </row>
    <row r="5" ht="22" customHeight="1">
      <c r="B5" s="8" t="inlineStr">
        <is>
          <t xml:space="preserve">  1. ДОХОД</t>
        </is>
      </c>
      <c r="C5" s="9" t="n"/>
      <c r="D5" s="9" t="n"/>
      <c r="E5" s="9" t="n"/>
    </row>
    <row r="6">
      <c r="B6" s="10" t="inlineStr">
        <is>
          <t>Цена продажи (с учётом скидки)</t>
        </is>
      </c>
      <c r="C6" s="11" t="n">
        <v>1290</v>
      </c>
      <c r="D6" s="12" t="inlineStr">
        <is>
          <t>Цена, которую платит покупатель</t>
        </is>
      </c>
    </row>
    <row r="7">
      <c r="B7" s="10" t="inlineStr">
        <is>
          <t>Название товара</t>
        </is>
      </c>
      <c r="C7" s="13" t="inlineStr">
        <is>
          <t>Платье летнее</t>
        </is>
      </c>
      <c r="D7" s="12" t="inlineStr">
        <is>
          <t>Для удобства — подставится в отчёт</t>
        </is>
      </c>
    </row>
    <row r="9" ht="22" customHeight="1">
      <c r="B9" s="8" t="inlineStr">
        <is>
          <t xml:space="preserve">  2. СЕБЕСТОИМОСТЬ ТОВАРА</t>
        </is>
      </c>
      <c r="C9" s="9" t="n"/>
      <c r="D9" s="9" t="n"/>
      <c r="E9" s="9" t="n"/>
    </row>
    <row r="10">
      <c r="B10" s="10" t="inlineStr">
        <is>
          <t>Закупка / производство, ₽</t>
        </is>
      </c>
      <c r="C10" s="11" t="n">
        <v>380</v>
      </c>
      <c r="D10" s="12" t="inlineStr">
        <is>
          <t>Цена единицы у поставщика</t>
        </is>
      </c>
    </row>
    <row r="11">
      <c r="B11" s="10" t="inlineStr">
        <is>
          <t>Доставка до склада, ₽</t>
        </is>
      </c>
      <c r="C11" s="11" t="n">
        <v>45</v>
      </c>
      <c r="D11" s="12" t="inlineStr">
        <is>
          <t>Логистика от поставщика, в пересчёте на единицу</t>
        </is>
      </c>
    </row>
    <row r="12">
      <c r="B12" s="10" t="inlineStr">
        <is>
          <t>Упаковка и маркировка, ₽</t>
        </is>
      </c>
      <c r="C12" s="11" t="n">
        <v>25</v>
      </c>
      <c r="D12" s="12" t="inlineStr">
        <is>
          <t>Пакет/коробка, этикетка, штрихкод, работа</t>
        </is>
      </c>
    </row>
    <row r="13">
      <c r="B13" s="10" t="inlineStr">
        <is>
          <t>Брак и потери, %</t>
        </is>
      </c>
      <c r="C13" s="14" t="n">
        <v>0.02</v>
      </c>
      <c r="D13" s="12" t="inlineStr">
        <is>
          <t>Доля товара, который не продастся</t>
        </is>
      </c>
    </row>
    <row r="15" ht="22" customHeight="1">
      <c r="B15" s="8" t="inlineStr">
        <is>
          <t xml:space="preserve">  3. РАСХОДЫ ПЛОЩАДКИ</t>
        </is>
      </c>
      <c r="C15" s="9" t="n"/>
      <c r="D15" s="9" t="n"/>
      <c r="E15" s="9" t="n"/>
    </row>
    <row r="16">
      <c r="B16" s="10" t="inlineStr">
        <is>
          <t>Комиссия маркетплейса, %</t>
        </is>
      </c>
      <c r="C16" s="14" t="n">
        <v>0.19</v>
      </c>
      <c r="D16" s="12" t="inlineStr">
        <is>
          <t>Смотрите в личном кабинете по своей категории</t>
        </is>
      </c>
    </row>
    <row r="17">
      <c r="B17" s="10" t="inlineStr">
        <is>
          <t>Логистика до клиента, ₽</t>
        </is>
      </c>
      <c r="C17" s="11" t="n">
        <v>85</v>
      </c>
      <c r="D17" s="12" t="inlineStr">
        <is>
          <t>Из отчёта о реализации. Зависит от литража</t>
        </is>
      </c>
    </row>
    <row r="18">
      <c r="B18" s="10" t="inlineStr">
        <is>
          <t>Обратная логистика, ₽</t>
        </is>
      </c>
      <c r="C18" s="11" t="n">
        <v>60</v>
      </c>
      <c r="D18" s="12" t="inlineStr">
        <is>
          <t>Стоимость возврата товара на склад</t>
        </is>
      </c>
    </row>
    <row r="19">
      <c r="B19" s="10" t="inlineStr">
        <is>
          <t>Процент выкупа, %</t>
        </is>
      </c>
      <c r="C19" s="14" t="n">
        <v>0.65</v>
      </c>
      <c r="D19" s="12" t="inlineStr">
        <is>
          <t>Одежда 30–50%, дом/хозтовары 85–95%</t>
        </is>
      </c>
    </row>
    <row r="20">
      <c r="B20" s="10" t="inlineStr">
        <is>
          <t>Хранение, ₽/мес на единицу</t>
        </is>
      </c>
      <c r="C20" s="11" t="n">
        <v>12</v>
      </c>
      <c r="D20" s="12" t="inlineStr">
        <is>
          <t>Среднее за месяц оборота</t>
        </is>
      </c>
    </row>
    <row r="22" ht="22" customHeight="1">
      <c r="B22" s="8" t="inlineStr">
        <is>
          <t xml:space="preserve">  4. ПРОДВИЖЕНИЕ И НАЛОГИ</t>
        </is>
      </c>
      <c r="C22" s="9" t="n"/>
      <c r="D22" s="9" t="n"/>
      <c r="E22" s="9" t="n"/>
    </row>
    <row r="23">
      <c r="B23" s="10" t="inlineStr">
        <is>
          <t>Реклама (ДРР), % от цены</t>
        </is>
      </c>
      <c r="C23" s="14" t="n">
        <v>0.15</v>
      </c>
      <c r="D23" s="12" t="inlineStr">
        <is>
          <t>Доля рекламных расходов в выручке</t>
        </is>
      </c>
    </row>
    <row r="24">
      <c r="B24" s="10" t="inlineStr">
        <is>
          <t>Налог, % от цены</t>
        </is>
      </c>
      <c r="C24" s="14" t="n">
        <v>0.06</v>
      </c>
      <c r="D24" s="12" t="inlineStr">
        <is>
          <t>УСН «Доходы» 6%, НПД 4–6%, АУСН 8%</t>
        </is>
      </c>
    </row>
    <row r="25">
      <c r="B25" s="10" t="inlineStr">
        <is>
          <t>Прочие расходы, ₽</t>
        </is>
      </c>
      <c r="C25" s="11" t="n">
        <v>20</v>
      </c>
      <c r="D25" s="12" t="inlineStr">
        <is>
          <t>Фотоконтент, эквайринг, штрафы, ЗП — всё остальное</t>
        </is>
      </c>
    </row>
    <row r="26">
      <c r="B26" s="10" t="inlineStr">
        <is>
          <t>Продаж в месяц, шт</t>
        </is>
      </c>
      <c r="C26" s="15" t="n">
        <v>200</v>
      </c>
      <c r="D26" s="12" t="inlineStr">
        <is>
          <t>Для расчёта месячной прибыли</t>
        </is>
      </c>
    </row>
    <row r="28" ht="22" customHeight="1">
      <c r="B28" s="8" t="inlineStr">
        <is>
          <t xml:space="preserve">  5. РАСШИФРОВКА РАСХОДОВ</t>
        </is>
      </c>
      <c r="C28" s="9" t="n"/>
      <c r="D28" s="9" t="n"/>
      <c r="E28" s="9" t="n"/>
    </row>
    <row r="29">
      <c r="B29" s="10" t="inlineStr">
        <is>
          <t>Себестоимость с учётом брака</t>
        </is>
      </c>
      <c r="C29" s="16">
        <f>(C10+C11+C12)/(1-C13)</f>
        <v/>
      </c>
      <c r="D29" s="12" t="inlineStr">
        <is>
          <t>Закупка + доставка + упаковка, с поправкой на брак</t>
        </is>
      </c>
    </row>
    <row r="30">
      <c r="B30" s="10" t="inlineStr">
        <is>
          <t>Комиссия площадки</t>
        </is>
      </c>
      <c r="C30" s="16">
        <f>C6*C16</f>
        <v/>
      </c>
      <c r="D30" s="12">
        <f> Цена × ставка комиссии</f>
        <v/>
      </c>
    </row>
    <row r="31">
      <c r="B31" s="10" t="inlineStr">
        <is>
          <t>Логистика (прямая)</t>
        </is>
      </c>
      <c r="C31" s="16">
        <f>C17</f>
        <v/>
      </c>
      <c r="D31" s="12" t="inlineStr">
        <is>
          <t>Доставка до пункта выдачи / клиента</t>
        </is>
      </c>
    </row>
    <row r="32">
      <c r="B32" s="10" t="inlineStr">
        <is>
          <t>Потери на возвратах</t>
        </is>
      </c>
      <c r="C32" s="16">
        <f>(1-C19)*(C17+C18)</f>
        <v/>
      </c>
      <c r="D32" s="12" t="inlineStr">
        <is>
          <t>Невыкуп × (доставка туда + обратно)</t>
        </is>
      </c>
    </row>
    <row r="33">
      <c r="B33" s="10" t="inlineStr">
        <is>
          <t>Хранение</t>
        </is>
      </c>
      <c r="C33" s="16">
        <f>C20</f>
        <v/>
      </c>
    </row>
    <row r="34">
      <c r="B34" s="10" t="inlineStr">
        <is>
          <t>Реклама</t>
        </is>
      </c>
      <c r="C34" s="16">
        <f>C6*C23</f>
        <v/>
      </c>
      <c r="D34" s="12" t="inlineStr">
        <is>
          <t>ДРР × цена</t>
        </is>
      </c>
    </row>
    <row r="35">
      <c r="B35" s="10" t="inlineStr">
        <is>
          <t>Налог</t>
        </is>
      </c>
      <c r="C35" s="16">
        <f>C6*C24</f>
        <v/>
      </c>
      <c r="D35" s="12" t="inlineStr">
        <is>
          <t>Для УСН «Доходы» и НПД</t>
        </is>
      </c>
    </row>
    <row r="36">
      <c r="B36" s="10" t="inlineStr">
        <is>
          <t>Прочее</t>
        </is>
      </c>
      <c r="C36" s="16">
        <f>C25</f>
        <v/>
      </c>
    </row>
    <row r="37">
      <c r="B37" s="17" t="inlineStr">
        <is>
          <t>ИТОГО РАСХОДОВ</t>
        </is>
      </c>
      <c r="C37" s="18">
        <f>SUM(C29:C36)</f>
        <v/>
      </c>
      <c r="D37" s="12" t="inlineStr">
        <is>
          <t>Сумма всех статей</t>
        </is>
      </c>
    </row>
    <row r="39" ht="22" customHeight="1">
      <c r="B39" s="8" t="inlineStr">
        <is>
          <t xml:space="preserve">  6. ИТОГ</t>
        </is>
      </c>
      <c r="C39" s="9" t="n"/>
      <c r="D39" s="9" t="n"/>
      <c r="E39" s="9" t="n"/>
    </row>
    <row r="40">
      <c r="B40" s="19" t="inlineStr">
        <is>
          <t>ПРИБЫЛЬ С 1 ПРОДАЖИ</t>
        </is>
      </c>
      <c r="C40" s="20">
        <f>C6-C37</f>
        <v/>
      </c>
      <c r="D40" s="12" t="inlineStr">
        <is>
          <t>Главная цифра. Если минус — товар продавать нельзя</t>
        </is>
      </c>
    </row>
    <row r="41">
      <c r="B41" s="21" t="inlineStr">
        <is>
          <t>Маржинальность</t>
        </is>
      </c>
      <c r="C41" s="22">
        <f>IF(C6=0,0,C40/C6)</f>
        <v/>
      </c>
      <c r="D41" s="12" t="inlineStr">
        <is>
          <t>Прибыль ÷ цена. Норма для маркетплейсов: 20–35%</t>
        </is>
      </c>
    </row>
    <row r="42">
      <c r="B42" s="21" t="inlineStr">
        <is>
          <t>ROI (окупаемость вложений)</t>
        </is>
      </c>
      <c r="C42" s="22">
        <f>IF((C10+C11+C12)=0,0,C40/(C10+C11+C12))</f>
        <v/>
      </c>
      <c r="D42" s="12" t="inlineStr">
        <is>
          <t>Прибыль ÷ вложенные в единицу деньги</t>
        </is>
      </c>
    </row>
    <row r="43">
      <c r="B43" s="21" t="inlineStr">
        <is>
          <t>Наценка к закупке</t>
        </is>
      </c>
      <c r="C43" s="22">
        <f>IF(C10=0,0,C6/C10-1)</f>
        <v/>
      </c>
      <c r="D43" s="12" t="inlineStr">
        <is>
          <t>Во сколько раз цена выше закупки</t>
        </is>
      </c>
    </row>
    <row r="44">
      <c r="B44" s="21" t="inlineStr">
        <is>
          <t>Доля расходов в цене</t>
        </is>
      </c>
      <c r="C44" s="22">
        <f>IF(C6=0,0,C37/C6)</f>
        <v/>
      </c>
      <c r="D44" s="12" t="inlineStr">
        <is>
          <t>Если больше 80% — вы работаете на площадку</t>
        </is>
      </c>
    </row>
    <row r="46" ht="22" customHeight="1">
      <c r="B46" s="8" t="inlineStr">
        <is>
          <t xml:space="preserve">  7. ПРОГНОЗ НА МЕСЯЦ</t>
        </is>
      </c>
      <c r="C46" s="9" t="n"/>
      <c r="D46" s="9" t="n"/>
      <c r="E46" s="9" t="n"/>
    </row>
    <row r="47">
      <c r="B47" s="21" t="inlineStr">
        <is>
          <t>Выручка</t>
        </is>
      </c>
      <c r="C47" s="23">
        <f>C6*C26</f>
        <v/>
      </c>
    </row>
    <row r="48">
      <c r="B48" s="19" t="inlineStr">
        <is>
          <t>Чистая прибыль в месяц</t>
        </is>
      </c>
      <c r="C48" s="24">
        <f>C40*C26</f>
        <v/>
      </c>
      <c r="D48" s="12" t="inlineStr">
        <is>
          <t>При текущих вводных</t>
        </is>
      </c>
    </row>
    <row r="49">
      <c r="B49" s="21" t="inlineStr">
        <is>
          <t>Прибыль за год</t>
        </is>
      </c>
      <c r="C49" s="23">
        <f>C48*12</f>
        <v/>
      </c>
    </row>
    <row r="50">
      <c r="B50" s="21" t="inlineStr">
        <is>
          <t>Вложено в закупку на месяц</t>
        </is>
      </c>
      <c r="C50" s="23">
        <f>(C10+C11+C12)*C26</f>
        <v/>
      </c>
    </row>
    <row r="52" ht="22" customHeight="1">
      <c r="B52" s="8" t="inlineStr">
        <is>
          <t xml:space="preserve">  8. ТОЧКА БЕЗУБЫТОЧНОСТИ И ЦЕЛЕВАЯ ЦЕНА</t>
        </is>
      </c>
      <c r="C52" s="9" t="n"/>
      <c r="D52" s="9" t="n"/>
      <c r="E52" s="9" t="n"/>
    </row>
    <row r="53">
      <c r="B53" s="21" t="inlineStr">
        <is>
          <t>Минимальная цена (в ноль)</t>
        </is>
      </c>
      <c r="C53" s="25">
        <f>(C29+C17+(1-C19)*(C17+C18)+C20+C25)/(1-C16-C23-C24)</f>
        <v/>
      </c>
      <c r="D53" s="12" t="inlineStr">
        <is>
          <t>Ниже этой цены — убыток. Формула учитывает %-расходы</t>
        </is>
      </c>
    </row>
    <row r="54">
      <c r="B54" s="10" t="inlineStr">
        <is>
          <t>Целевая маржа, %</t>
        </is>
      </c>
      <c r="C54" s="14" t="n">
        <v>0.25</v>
      </c>
      <c r="D54" s="12" t="inlineStr">
        <is>
          <t>Какую прибыль вы хотите получать с каждой продажи</t>
        </is>
      </c>
    </row>
    <row r="55">
      <c r="B55" s="19" t="inlineStr">
        <is>
          <t>РЕКОМЕНДУЕМАЯ ЦЕНА</t>
        </is>
      </c>
      <c r="C55" s="20">
        <f>IF((1-C16-C23-C24-C54)&lt;=0,"недостижимо",(C29+C17+(1-C19)*(C17+C18)+C20+C25)/(1-C16-C23-C24-C54))</f>
        <v/>
      </c>
      <c r="D55" s="12" t="inlineStr">
        <is>
          <t>Цена, при которой маржа = целевой. Учитывает, что %-расходы тоже растут с ценой</t>
        </is>
      </c>
    </row>
    <row r="56">
      <c r="B56" s="21" t="inlineStr">
        <is>
          <t>Запас прочности</t>
        </is>
      </c>
      <c r="C56" s="22">
        <f>IF(C6=0,0,C6/C53-1)</f>
        <v/>
      </c>
      <c r="D56" s="12" t="inlineStr">
        <is>
          <t>Насколько текущая цена выше безубыточной. Меньше 15% — риск</t>
        </is>
      </c>
    </row>
    <row r="57">
      <c r="B57" s="21" t="inlineStr">
        <is>
          <t>Сколько нужно поднять цену</t>
        </is>
      </c>
      <c r="C57" s="22">
        <f>IF(OR(C6=0,NOT(ISNUMBER(C55))),0,C55/C6-1)</f>
        <v/>
      </c>
      <c r="D57" s="12" t="inlineStr">
        <is>
          <t>0 или минус = текущая цена уже хорошая</t>
        </is>
      </c>
    </row>
    <row r="59" ht="22" customHeight="1">
      <c r="B59" s="8" t="inlineStr">
        <is>
          <t xml:space="preserve">  9. КАК МЕНЯЕТСЯ ПРИБЫЛЬ ПРИ ИЗМЕНЕНИИ ЦЕНЫ</t>
        </is>
      </c>
      <c r="C59" s="9" t="n"/>
      <c r="D59" s="9" t="n"/>
      <c r="E59" s="9" t="n"/>
    </row>
    <row r="60">
      <c r="B60" s="26" t="inlineStr">
        <is>
          <t>Цена продажи</t>
        </is>
      </c>
      <c r="C60" s="26" t="inlineStr">
        <is>
          <t>-300 ₽</t>
        </is>
      </c>
      <c r="D60" s="26" t="inlineStr">
        <is>
          <t>-150 ₽</t>
        </is>
      </c>
      <c r="E60" s="26" t="inlineStr">
        <is>
          <t>Текущая</t>
        </is>
      </c>
      <c r="F60" s="26" t="inlineStr">
        <is>
          <t>+150 ₽</t>
        </is>
      </c>
      <c r="G60" s="26" t="inlineStr">
        <is>
          <t>+300 ₽</t>
        </is>
      </c>
      <c r="H60" s="26" t="inlineStr">
        <is>
          <t>+500 ₽</t>
        </is>
      </c>
    </row>
    <row r="61">
      <c r="B61" s="27" t="inlineStr">
        <is>
          <t>Прибыль с единицы</t>
        </is>
      </c>
      <c r="C61" s="28">
        <f>(C6+-300)-(C29+(C6+-300)*C16+C17+(1-C19)*(C17+C18)+C20+(C6+-300)*C23+(C6+-300)*C24+C25)</f>
        <v/>
      </c>
      <c r="D61" s="28">
        <f>(C6+-150)-(C29+(C6+-150)*C16+C17+(1-C19)*(C17+C18)+C20+(C6+-150)*C23+(C6+-150)*C24+C25)</f>
        <v/>
      </c>
      <c r="E61" s="28">
        <f>(C6+0)-(C29+(C6+0)*C16+C17+(1-C19)*(C17+C18)+C20+(C6+0)*C23+(C6+0)*C24+C25)</f>
        <v/>
      </c>
      <c r="F61" s="28">
        <f>(C6+150)-(C29+(C6+150)*C16+C17+(1-C19)*(C17+C18)+C20+(C6+150)*C23+(C6+150)*C24+C25)</f>
        <v/>
      </c>
      <c r="G61" s="28">
        <f>(C6+300)-(C29+(C6+300)*C16+C17+(1-C19)*(C17+C18)+C20+(C6+300)*C23+(C6+300)*C24+C25)</f>
        <v/>
      </c>
      <c r="H61" s="28">
        <f>(C6+500)-(C29+(C6+500)*C16+C17+(1-C19)*(C17+C18)+C20+(C6+500)*C23+(C6+500)*C24+C25)</f>
        <v/>
      </c>
    </row>
    <row r="63">
      <c r="B63" s="5" t="inlineStr">
        <is>
          <t>Совет: если при цене −150 ₽ прибыль остаётся положительной и выше 15% — у вас есть запас для участия в акциях площадки. Если при −150 ₽ она уходит в минус — акции для вас убыточны, считайте это до регистрации в акции.</t>
        </is>
      </c>
    </row>
    <row r="64"/>
  </sheetData>
  <mergeCells count="3">
    <mergeCell ref="B63:H64"/>
    <mergeCell ref="B3:D3"/>
    <mergeCell ref="B2:D2"/>
  </mergeCells>
  <conditionalFormatting sqref="C61:H61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2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0" customWidth="1" min="12" max="12"/>
    <col width="10" customWidth="1" min="13" max="13"/>
    <col width="9" customWidth="1" min="14" max="14"/>
    <col width="9" customWidth="1" min="15" max="15"/>
    <col width="12" customWidth="1" min="16" max="16"/>
    <col width="12" customWidth="1" min="17" max="17"/>
    <col width="9" customWidth="1" min="18" max="18"/>
    <col width="9" customWidth="1" min="19" max="19"/>
    <col width="16" customWidth="1" min="20" max="20"/>
  </cols>
  <sheetData>
    <row r="2" ht="28" customHeight="1">
      <c r="B2" s="29" t="inlineStr">
        <is>
          <t>СРАВНЕНИЕ АССОРТИМЕНТА — до 15 товаров. Красный = убыток, зелёный = прибыль.</t>
        </is>
      </c>
    </row>
    <row r="3" ht="42" customHeight="1">
      <c r="B3" s="30" t="inlineStr">
        <is>
          <t>№</t>
        </is>
      </c>
      <c r="C3" s="30" t="inlineStr">
        <is>
          <t>Товар</t>
        </is>
      </c>
      <c r="D3" s="30" t="inlineStr">
        <is>
          <t>Цена</t>
        </is>
      </c>
      <c r="E3" s="30" t="inlineStr">
        <is>
          <t>Закупка</t>
        </is>
      </c>
      <c r="F3" s="30" t="inlineStr">
        <is>
          <t>Дост. до скл.</t>
        </is>
      </c>
      <c r="G3" s="30" t="inlineStr">
        <is>
          <t>Упаковка</t>
        </is>
      </c>
      <c r="H3" s="30" t="inlineStr">
        <is>
          <t>Комиссия %</t>
        </is>
      </c>
      <c r="I3" s="30" t="inlineStr">
        <is>
          <t>Логистика</t>
        </is>
      </c>
      <c r="J3" s="30" t="inlineStr">
        <is>
          <t>Обр. логист.</t>
        </is>
      </c>
      <c r="K3" s="30" t="inlineStr">
        <is>
          <t>Выкуп %</t>
        </is>
      </c>
      <c r="L3" s="30" t="inlineStr">
        <is>
          <t>Хранение</t>
        </is>
      </c>
      <c r="M3" s="30" t="inlineStr">
        <is>
          <t>Реклама %</t>
        </is>
      </c>
      <c r="N3" s="30" t="inlineStr">
        <is>
          <t>Налог %</t>
        </is>
      </c>
      <c r="O3" s="30" t="inlineStr">
        <is>
          <t>Прочее</t>
        </is>
      </c>
      <c r="P3" s="30" t="inlineStr">
        <is>
          <t>Расходы итого</t>
        </is>
      </c>
      <c r="Q3" s="30" t="inlineStr">
        <is>
          <t>ПРИБЫЛЬ</t>
        </is>
      </c>
      <c r="R3" s="30" t="inlineStr">
        <is>
          <t>Маржа %</t>
        </is>
      </c>
      <c r="S3" s="30" t="inlineStr">
        <is>
          <t>ROI %</t>
        </is>
      </c>
      <c r="T3" s="30" t="inlineStr">
        <is>
          <t>Вердикт</t>
        </is>
      </c>
    </row>
    <row r="4" ht="19" customHeight="1">
      <c r="B4" s="31" t="n">
        <v>1</v>
      </c>
      <c r="C4" s="32" t="inlineStr">
        <is>
          <t>Платье летнее</t>
        </is>
      </c>
      <c r="D4" s="33" t="n">
        <v>1290</v>
      </c>
      <c r="E4" s="33" t="n">
        <v>380</v>
      </c>
      <c r="F4" s="33" t="n">
        <v>45</v>
      </c>
      <c r="G4" s="33" t="n">
        <v>25</v>
      </c>
      <c r="H4" s="34" t="n">
        <v>0.19</v>
      </c>
      <c r="I4" s="35" t="n">
        <v>85</v>
      </c>
      <c r="J4" s="33" t="n">
        <v>60</v>
      </c>
      <c r="K4" s="34" t="n">
        <v>0.65</v>
      </c>
      <c r="L4" s="35" t="n">
        <v>12</v>
      </c>
      <c r="M4" s="34" t="n">
        <v>0.15</v>
      </c>
      <c r="N4" s="34" t="n">
        <v>0.06</v>
      </c>
      <c r="O4" s="33" t="n">
        <v>20</v>
      </c>
      <c r="P4" s="36" t="inlineStr">
        <is>
          <t>IF(D4="","",IFERROR((E4+F4+G4)/(1-0.02),0)+D4*H4+I4+(1-K4)*(I4+J4)+L4+D4*M4+D4*N4+O4)</t>
        </is>
      </c>
      <c r="Q4" s="25" t="inlineStr">
        <is>
          <t>IF(D4="","",D4-P4)</t>
        </is>
      </c>
      <c r="R4" s="37" t="inlineStr">
        <is>
          <t>IF(OR(D4="",D4=0),"",Q4/D4)</t>
        </is>
      </c>
      <c r="S4" s="37" t="inlineStr">
        <is>
          <t>IF(OR(D4="",E4=0),"",Q4/(E4+F4+G4))</t>
        </is>
      </c>
      <c r="T4" s="38" t="inlineStr">
        <is>
          <t>IF(D4="","—",IF(Q4&lt;0,"УБЫТОК",IF(R4&lt;0.15,"Рискованно",IF(R4&lt;0.25,"Норма","Отлично"))))</t>
        </is>
      </c>
    </row>
    <row r="5" ht="19" customHeight="1">
      <c r="B5" s="31" t="n">
        <v>2</v>
      </c>
      <c r="C5" s="32" t="inlineStr">
        <is>
          <t>Футболка базовая</t>
        </is>
      </c>
      <c r="D5" s="33" t="n">
        <v>690</v>
      </c>
      <c r="E5" s="33" t="n">
        <v>190</v>
      </c>
      <c r="F5" s="33" t="n">
        <v>25</v>
      </c>
      <c r="G5" s="33" t="n">
        <v>15</v>
      </c>
      <c r="H5" s="34" t="n">
        <v>0.19</v>
      </c>
      <c r="I5" s="35" t="n">
        <v>60</v>
      </c>
      <c r="J5" s="33" t="n">
        <v>45</v>
      </c>
      <c r="K5" s="34" t="n">
        <v>0.7</v>
      </c>
      <c r="L5" s="35" t="n">
        <v>9</v>
      </c>
      <c r="M5" s="34" t="n">
        <v>0.15</v>
      </c>
      <c r="N5" s="34" t="n">
        <v>0.06</v>
      </c>
      <c r="O5" s="33" t="n">
        <v>12</v>
      </c>
      <c r="P5" s="36" t="inlineStr">
        <is>
          <t>IF(D5="","",IFERROR((E5+F5+G5)/(1-0.02),0)+D5*H5+I5+(1-K5)*(I5+J5)+L5+D5*M5+D5*N5+O5)</t>
        </is>
      </c>
      <c r="Q5" s="25" t="inlineStr">
        <is>
          <t>IF(D5="","",D5-P5)</t>
        </is>
      </c>
      <c r="R5" s="37" t="inlineStr">
        <is>
          <t>IF(OR(D5="",D5=0),"",Q5/D5)</t>
        </is>
      </c>
      <c r="S5" s="37" t="inlineStr">
        <is>
          <t>IF(OR(D5="",E5=0),"",Q5/(E5+F5+G5))</t>
        </is>
      </c>
      <c r="T5" s="38" t="inlineStr">
        <is>
          <t>IF(D5="","—",IF(Q5&lt;0,"УБЫТОК",IF(R5&lt;0.15,"Рискованно",IF(R5&lt;0.25,"Норма","Отлично"))))</t>
        </is>
      </c>
    </row>
    <row r="6" ht="19" customHeight="1">
      <c r="B6" s="31" t="n">
        <v>3</v>
      </c>
      <c r="C6" s="32" t="inlineStr">
        <is>
          <t>Кружка керамич.</t>
        </is>
      </c>
      <c r="D6" s="33" t="n">
        <v>590</v>
      </c>
      <c r="E6" s="33" t="n">
        <v>160</v>
      </c>
      <c r="F6" s="33" t="n">
        <v>40</v>
      </c>
      <c r="G6" s="33" t="n">
        <v>35</v>
      </c>
      <c r="H6" s="34" t="n">
        <v>0.17</v>
      </c>
      <c r="I6" s="35" t="n">
        <v>75</v>
      </c>
      <c r="J6" s="33" t="n">
        <v>55</v>
      </c>
      <c r="K6" s="34" t="n">
        <v>0.92</v>
      </c>
      <c r="L6" s="35" t="n">
        <v>14</v>
      </c>
      <c r="M6" s="34" t="n">
        <v>0.1</v>
      </c>
      <c r="N6" s="34" t="n">
        <v>0.06</v>
      </c>
      <c r="O6" s="33" t="n">
        <v>10</v>
      </c>
      <c r="P6" s="36" t="inlineStr">
        <is>
          <t>IF(D6="","",IFERROR((E6+F6+G6)/(1-0.02),0)+D6*H6+I6+(1-K6)*(I6+J6)+L6+D6*M6+D6*N6+O6)</t>
        </is>
      </c>
      <c r="Q6" s="25" t="inlineStr">
        <is>
          <t>IF(D6="","",D6-P6)</t>
        </is>
      </c>
      <c r="R6" s="37" t="inlineStr">
        <is>
          <t>IF(OR(D6="",D6=0),"",Q6/D6)</t>
        </is>
      </c>
      <c r="S6" s="37" t="inlineStr">
        <is>
          <t>IF(OR(D6="",E6=0),"",Q6/(E6+F6+G6))</t>
        </is>
      </c>
      <c r="T6" s="38" t="inlineStr">
        <is>
          <t>IF(D6="","—",IF(Q6&lt;0,"УБЫТОК",IF(R6&lt;0.15,"Рискованно",IF(R6&lt;0.25,"Норма","Отлично"))))</t>
        </is>
      </c>
    </row>
    <row r="7" ht="19" customHeight="1">
      <c r="B7" s="31" t="n">
        <v>4</v>
      </c>
      <c r="C7" s="32" t="inlineStr">
        <is>
          <t>Набор полотенец</t>
        </is>
      </c>
      <c r="D7" s="33" t="n">
        <v>990</v>
      </c>
      <c r="E7" s="33" t="n">
        <v>310</v>
      </c>
      <c r="F7" s="33" t="n">
        <v>35</v>
      </c>
      <c r="G7" s="33" t="n">
        <v>20</v>
      </c>
      <c r="H7" s="34" t="n">
        <v>0.17</v>
      </c>
      <c r="I7" s="35" t="n">
        <v>80</v>
      </c>
      <c r="J7" s="33" t="n">
        <v>55</v>
      </c>
      <c r="K7" s="34" t="n">
        <v>0.9</v>
      </c>
      <c r="L7" s="35" t="n">
        <v>13</v>
      </c>
      <c r="M7" s="34" t="n">
        <v>0.12</v>
      </c>
      <c r="N7" s="34" t="n">
        <v>0.06</v>
      </c>
      <c r="O7" s="33" t="n">
        <v>15</v>
      </c>
      <c r="P7" s="36" t="inlineStr">
        <is>
          <t>IF(D7="","",IFERROR((E7+F7+G7)/(1-0.02),0)+D7*H7+I7+(1-K7)*(I7+J7)+L7+D7*M7+D7*N7+O7)</t>
        </is>
      </c>
      <c r="Q7" s="25" t="inlineStr">
        <is>
          <t>IF(D7="","",D7-P7)</t>
        </is>
      </c>
      <c r="R7" s="37" t="inlineStr">
        <is>
          <t>IF(OR(D7="",D7=0),"",Q7/D7)</t>
        </is>
      </c>
      <c r="S7" s="37" t="inlineStr">
        <is>
          <t>IF(OR(D7="",E7=0),"",Q7/(E7+F7+G7))</t>
        </is>
      </c>
      <c r="T7" s="38" t="inlineStr">
        <is>
          <t>IF(D7="","—",IF(Q7&lt;0,"УБЫТОК",IF(R7&lt;0.15,"Рискованно",IF(R7&lt;0.25,"Норма","Отлично"))))</t>
        </is>
      </c>
    </row>
    <row r="8" ht="19" customHeight="1">
      <c r="B8" s="31" t="n">
        <v>5</v>
      </c>
      <c r="C8" s="32" t="inlineStr"/>
      <c r="D8" s="33" t="n"/>
      <c r="E8" s="33" t="n"/>
      <c r="F8" s="33" t="n"/>
      <c r="G8" s="33" t="n"/>
      <c r="H8" s="34" t="n"/>
      <c r="I8" s="35" t="n"/>
      <c r="J8" s="33" t="n"/>
      <c r="K8" s="34" t="n"/>
      <c r="L8" s="35" t="n"/>
      <c r="M8" s="34" t="n"/>
      <c r="N8" s="34" t="n"/>
      <c r="O8" s="33" t="n"/>
      <c r="P8" s="36" t="inlineStr">
        <is>
          <t>IF(D8="","",IFERROR((E8+F8+G8)/(1-0.02),0)+D8*H8+I8+(1-K8)*(I8+J8)+L8+D8*M8+D8*N8+O8)</t>
        </is>
      </c>
      <c r="Q8" s="25" t="inlineStr">
        <is>
          <t>IF(D8="","",D8-P8)</t>
        </is>
      </c>
      <c r="R8" s="37" t="inlineStr">
        <is>
          <t>IF(OR(D8="",D8=0),"",Q8/D8)</t>
        </is>
      </c>
      <c r="S8" s="37" t="inlineStr">
        <is>
          <t>IF(OR(D8="",E8=0),"",Q8/(E8+F8+G8))</t>
        </is>
      </c>
      <c r="T8" s="38" t="inlineStr">
        <is>
          <t>IF(D8="","—",IF(Q8&lt;0,"УБЫТОК",IF(R8&lt;0.15,"Рискованно",IF(R8&lt;0.25,"Норма","Отлично"))))</t>
        </is>
      </c>
    </row>
    <row r="9" ht="19" customHeight="1">
      <c r="B9" s="31" t="n">
        <v>6</v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6" t="inlineStr">
        <is>
          <t>IF(D9="","",IFERROR((E9+F9+G9)/(1-0.02),0)+D9*H9+I9+(1-K9)*(I9+J9)+L9+D9*M9+D9*N9+O9)</t>
        </is>
      </c>
      <c r="Q9" s="25" t="inlineStr">
        <is>
          <t>IF(D9="","",D9-P9)</t>
        </is>
      </c>
      <c r="R9" s="37" t="inlineStr">
        <is>
          <t>IF(OR(D9="",D9=0),"",Q9/D9)</t>
        </is>
      </c>
      <c r="S9" s="37" t="inlineStr">
        <is>
          <t>IF(OR(D9="",E9=0),"",Q9/(E9+F9+G9))</t>
        </is>
      </c>
      <c r="T9" s="38" t="inlineStr">
        <is>
          <t>IF(D9="","—",IF(Q9&lt;0,"УБЫТОК",IF(R9&lt;0.15,"Рискованно",IF(R9&lt;0.25,"Норма","Отлично"))))</t>
        </is>
      </c>
    </row>
    <row r="10" ht="19" customHeight="1">
      <c r="B10" s="31" t="n">
        <v>7</v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6" t="inlineStr">
        <is>
          <t>IF(D10="","",IFERROR((E10+F10+G10)/(1-0.02),0)+D10*H10+I10+(1-K10)*(I10+J10)+L10+D10*M10+D10*N10+O10)</t>
        </is>
      </c>
      <c r="Q10" s="25" t="inlineStr">
        <is>
          <t>IF(D10="","",D10-P10)</t>
        </is>
      </c>
      <c r="R10" s="37" t="inlineStr">
        <is>
          <t>IF(OR(D10="",D10=0),"",Q10/D10)</t>
        </is>
      </c>
      <c r="S10" s="37" t="inlineStr">
        <is>
          <t>IF(OR(D10="",E10=0),"",Q10/(E10+F10+G10))</t>
        </is>
      </c>
      <c r="T10" s="38" t="inlineStr">
        <is>
          <t>IF(D10="","—",IF(Q10&lt;0,"УБЫТОК",IF(R10&lt;0.15,"Рискованно",IF(R10&lt;0.25,"Норма","Отлично"))))</t>
        </is>
      </c>
    </row>
    <row r="11" ht="19" customHeight="1">
      <c r="B11" s="31" t="n">
        <v>8</v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6" t="inlineStr">
        <is>
          <t>IF(D11="","",IFERROR((E11+F11+G11)/(1-0.02),0)+D11*H11+I11+(1-K11)*(I11+J11)+L11+D11*M11+D11*N11+O11)</t>
        </is>
      </c>
      <c r="Q11" s="25" t="inlineStr">
        <is>
          <t>IF(D11="","",D11-P11)</t>
        </is>
      </c>
      <c r="R11" s="37" t="inlineStr">
        <is>
          <t>IF(OR(D11="",D11=0),"",Q11/D11)</t>
        </is>
      </c>
      <c r="S11" s="37" t="inlineStr">
        <is>
          <t>IF(OR(D11="",E11=0),"",Q11/(E11+F11+G11))</t>
        </is>
      </c>
      <c r="T11" s="38" t="inlineStr">
        <is>
          <t>IF(D11="","—",IF(Q11&lt;0,"УБЫТОК",IF(R11&lt;0.15,"Рискованно",IF(R11&lt;0.25,"Норма","Отлично"))))</t>
        </is>
      </c>
    </row>
    <row r="12" ht="19" customHeight="1">
      <c r="B12" s="31" t="n">
        <v>9</v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6" t="inlineStr">
        <is>
          <t>IF(D12="","",IFERROR((E12+F12+G12)/(1-0.02),0)+D12*H12+I12+(1-K12)*(I12+J12)+L12+D12*M12+D12*N12+O12)</t>
        </is>
      </c>
      <c r="Q12" s="25" t="inlineStr">
        <is>
          <t>IF(D12="","",D12-P12)</t>
        </is>
      </c>
      <c r="R12" s="37" t="inlineStr">
        <is>
          <t>IF(OR(D12="",D12=0),"",Q12/D12)</t>
        </is>
      </c>
      <c r="S12" s="37" t="inlineStr">
        <is>
          <t>IF(OR(D12="",E12=0),"",Q12/(E12+F12+G12))</t>
        </is>
      </c>
      <c r="T12" s="38" t="inlineStr">
        <is>
          <t>IF(D12="","—",IF(Q12&lt;0,"УБЫТОК",IF(R12&lt;0.15,"Рискованно",IF(R12&lt;0.25,"Норма","Отлично"))))</t>
        </is>
      </c>
    </row>
    <row r="13" ht="19" customHeight="1">
      <c r="B13" s="31" t="n">
        <v>10</v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6" t="inlineStr">
        <is>
          <t>IF(D13="","",IFERROR((E13+F13+G13)/(1-0.02),0)+D13*H13+I13+(1-K13)*(I13+J13)+L13+D13*M13+D13*N13+O13)</t>
        </is>
      </c>
      <c r="Q13" s="25" t="inlineStr">
        <is>
          <t>IF(D13="","",D13-P13)</t>
        </is>
      </c>
      <c r="R13" s="37" t="inlineStr">
        <is>
          <t>IF(OR(D13="",D13=0),"",Q13/D13)</t>
        </is>
      </c>
      <c r="S13" s="37" t="inlineStr">
        <is>
          <t>IF(OR(D13="",E13=0),"",Q13/(E13+F13+G13))</t>
        </is>
      </c>
      <c r="T13" s="38" t="inlineStr">
        <is>
          <t>IF(D13="","—",IF(Q13&lt;0,"УБЫТОК",IF(R13&lt;0.15,"Рискованно",IF(R13&lt;0.25,"Норма","Отлично"))))</t>
        </is>
      </c>
    </row>
    <row r="14" ht="19" customHeight="1">
      <c r="B14" s="31" t="n">
        <v>11</v>
      </c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6" t="inlineStr">
        <is>
          <t>IF(D14="","",IFERROR((E14+F14+G14)/(1-0.02),0)+D14*H14+I14+(1-K14)*(I14+J14)+L14+D14*M14+D14*N14+O14)</t>
        </is>
      </c>
      <c r="Q14" s="25" t="inlineStr">
        <is>
          <t>IF(D14="","",D14-P14)</t>
        </is>
      </c>
      <c r="R14" s="37" t="inlineStr">
        <is>
          <t>IF(OR(D14="",D14=0),"",Q14/D14)</t>
        </is>
      </c>
      <c r="S14" s="37" t="inlineStr">
        <is>
          <t>IF(OR(D14="",E14=0),"",Q14/(E14+F14+G14))</t>
        </is>
      </c>
      <c r="T14" s="38" t="inlineStr">
        <is>
          <t>IF(D14="","—",IF(Q14&lt;0,"УБЫТОК",IF(R14&lt;0.15,"Рискованно",IF(R14&lt;0.25,"Норма","Отлично"))))</t>
        </is>
      </c>
    </row>
    <row r="15" ht="19" customHeight="1">
      <c r="B15" s="31" t="n">
        <v>12</v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6" t="inlineStr">
        <is>
          <t>IF(D15="","",IFERROR((E15+F15+G15)/(1-0.02),0)+D15*H15+I15+(1-K15)*(I15+J15)+L15+D15*M15+D15*N15+O15)</t>
        </is>
      </c>
      <c r="Q15" s="25" t="inlineStr">
        <is>
          <t>IF(D15="","",D15-P15)</t>
        </is>
      </c>
      <c r="R15" s="37" t="inlineStr">
        <is>
          <t>IF(OR(D15="",D15=0),"",Q15/D15)</t>
        </is>
      </c>
      <c r="S15" s="37" t="inlineStr">
        <is>
          <t>IF(OR(D15="",E15=0),"",Q15/(E15+F15+G15))</t>
        </is>
      </c>
      <c r="T15" s="38" t="inlineStr">
        <is>
          <t>IF(D15="","—",IF(Q15&lt;0,"УБЫТОК",IF(R15&lt;0.15,"Рискованно",IF(R15&lt;0.25,"Норма","Отлично"))))</t>
        </is>
      </c>
    </row>
    <row r="16" ht="19" customHeight="1">
      <c r="B16" s="31" t="n">
        <v>13</v>
      </c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6" t="inlineStr">
        <is>
          <t>IF(D16="","",IFERROR((E16+F16+G16)/(1-0.02),0)+D16*H16+I16+(1-K16)*(I16+J16)+L16+D16*M16+D16*N16+O16)</t>
        </is>
      </c>
      <c r="Q16" s="25" t="inlineStr">
        <is>
          <t>IF(D16="","",D16-P16)</t>
        </is>
      </c>
      <c r="R16" s="37" t="inlineStr">
        <is>
          <t>IF(OR(D16="",D16=0),"",Q16/D16)</t>
        </is>
      </c>
      <c r="S16" s="37" t="inlineStr">
        <is>
          <t>IF(OR(D16="",E16=0),"",Q16/(E16+F16+G16))</t>
        </is>
      </c>
      <c r="T16" s="38" t="inlineStr">
        <is>
          <t>IF(D16="","—",IF(Q16&lt;0,"УБЫТОК",IF(R16&lt;0.15,"Рискованно",IF(R16&lt;0.25,"Норма","Отлично"))))</t>
        </is>
      </c>
    </row>
    <row r="17" ht="19" customHeight="1">
      <c r="B17" s="31" t="n">
        <v>14</v>
      </c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6" t="inlineStr">
        <is>
          <t>IF(D17="","",IFERROR((E17+F17+G17)/(1-0.02),0)+D17*H17+I17+(1-K17)*(I17+J17)+L17+D17*M17+D17*N17+O17)</t>
        </is>
      </c>
      <c r="Q17" s="25" t="inlineStr">
        <is>
          <t>IF(D17="","",D17-P17)</t>
        </is>
      </c>
      <c r="R17" s="37" t="inlineStr">
        <is>
          <t>IF(OR(D17="",D17=0),"",Q17/D17)</t>
        </is>
      </c>
      <c r="S17" s="37" t="inlineStr">
        <is>
          <t>IF(OR(D17="",E17=0),"",Q17/(E17+F17+G17))</t>
        </is>
      </c>
      <c r="T17" s="38" t="inlineStr">
        <is>
          <t>IF(D17="","—",IF(Q17&lt;0,"УБЫТОК",IF(R17&lt;0.15,"Рискованно",IF(R17&lt;0.25,"Норма","Отлично"))))</t>
        </is>
      </c>
    </row>
    <row r="18" ht="19" customHeight="1">
      <c r="B18" s="31" t="n">
        <v>15</v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6" t="inlineStr">
        <is>
          <t>IF(D18="","",IFERROR((E18+F18+G18)/(1-0.02),0)+D18*H18+I18+(1-K18)*(I18+J18)+L18+D18*M18+D18*N18+O18)</t>
        </is>
      </c>
      <c r="Q18" s="25" t="inlineStr">
        <is>
          <t>IF(D18="","",D18-P18)</t>
        </is>
      </c>
      <c r="R18" s="37" t="inlineStr">
        <is>
          <t>IF(OR(D18="",D18=0),"",Q18/D18)</t>
        </is>
      </c>
      <c r="S18" s="37" t="inlineStr">
        <is>
          <t>IF(OR(D18="",E18=0),"",Q18/(E18+F18+G18))</t>
        </is>
      </c>
      <c r="T18" s="38" t="inlineStr">
        <is>
          <t>IF(D18="","—",IF(Q18&lt;0,"УБЫТОК",IF(R18&lt;0.15,"Рискованно",IF(R18&lt;0.25,"Норма","Отлично"))))</t>
        </is>
      </c>
    </row>
    <row r="20">
      <c r="C20" s="27" t="inlineStr">
        <is>
          <t>Выручка (сумма цен)</t>
        </is>
      </c>
      <c r="D20" s="23">
        <f>SUM(D4:D18)</f>
        <v/>
      </c>
    </row>
    <row r="21">
      <c r="C21" s="27" t="inlineStr">
        <is>
          <t>Чистая прибыль</t>
        </is>
      </c>
      <c r="D21" s="40">
        <f>SUMIF(Q4:Q18,"&gt;0")</f>
        <v/>
      </c>
    </row>
    <row r="22">
      <c r="C22" s="27" t="inlineStr">
        <is>
          <t>Убыток по проблемным позициям</t>
        </is>
      </c>
      <c r="D22" s="25">
        <f>SUMIF(Q4:Q18,"&lt;0")</f>
        <v/>
      </c>
    </row>
    <row r="23">
      <c r="C23" s="27" t="inlineStr">
        <is>
          <t>Позиций в убытке</t>
        </is>
      </c>
      <c r="D23" s="41">
        <f>COUNTIF(Q4:Q18,"&lt;0")</f>
        <v/>
      </c>
    </row>
    <row r="24">
      <c r="C24" s="27" t="inlineStr">
        <is>
          <t>Средняя маржа</t>
        </is>
      </c>
      <c r="D24" s="22">
        <f>IFERROR(AVERAGEIF(R4:R18,"&gt;0"),0)</f>
        <v/>
      </c>
    </row>
    <row r="26">
      <c r="C26" s="42" t="inlineStr">
        <is>
          <t>Первые 4 строки заполнены примером — замените на свои данные. Пустые строки не участвуют в расчёте.</t>
        </is>
      </c>
    </row>
  </sheetData>
  <mergeCells count="2">
    <mergeCell ref="B2:T2"/>
    <mergeCell ref="C26:L26"/>
  </mergeCells>
  <conditionalFormatting sqref="Q4:Q18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T4:T18">
    <cfRule type="cellIs" priority="3" operator="equal" dxfId="0">
      <formula>"УБЫТОК"</formula>
    </cfRule>
    <cfRule type="cellIs" priority="4" operator="equal" dxfId="1">
      <formula>"Отлично"</formula>
    </cfRule>
    <cfRule type="cellIs" priority="5" operator="equal" dxfId="2">
      <formula>"Рискованно"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  <col width="62" customWidth="1" min="5" max="5"/>
  </cols>
  <sheetData>
    <row r="2" ht="30" customHeight="1">
      <c r="B2" s="43" t="inlineStr">
        <is>
          <t>СПРАВОЧНИК: ОРИЕНТИРЫ ПО РАСХОДАМ</t>
        </is>
      </c>
    </row>
    <row r="3" ht="30" customHeight="1">
      <c r="B3" s="44" t="inlineStr">
        <is>
          <t>⚠ ЦИФРЫ ОРИЕНТИРОВОЧНЫЕ. Тарифы меняются несколько раз в год. Единственный верный источник — ваш личный кабинет и отчёт о реализации.</t>
        </is>
      </c>
    </row>
    <row r="5" ht="24" customHeight="1">
      <c r="B5" s="45" t="inlineStr">
        <is>
          <t>Статья расходов</t>
        </is>
      </c>
      <c r="C5" s="45" t="inlineStr">
        <is>
          <t>Обычно от</t>
        </is>
      </c>
      <c r="D5" s="45" t="inlineStr">
        <is>
          <t>Обычно до</t>
        </is>
      </c>
      <c r="E5" s="45" t="inlineStr">
        <is>
          <t>Где взять точную цифру</t>
        </is>
      </c>
    </row>
    <row r="6" ht="18" customHeight="1">
      <c r="B6" s="46" t="inlineStr">
        <is>
          <t>Комиссия WB — одежда и обувь</t>
        </is>
      </c>
      <c r="C6" s="46" t="inlineStr">
        <is>
          <t>15%</t>
        </is>
      </c>
      <c r="D6" s="46" t="inlineStr">
        <is>
          <t>25%</t>
        </is>
      </c>
      <c r="E6" s="47" t="inlineStr">
        <is>
          <t>Кабинет продавца → Тарифы → ваша категория</t>
        </is>
      </c>
    </row>
    <row r="7" ht="18" customHeight="1">
      <c r="B7" s="48" t="inlineStr">
        <is>
          <t>Комиссия WB — дом, кухня, хозтовары</t>
        </is>
      </c>
      <c r="C7" s="48" t="inlineStr">
        <is>
          <t>12%</t>
        </is>
      </c>
      <c r="D7" s="48" t="inlineStr">
        <is>
          <t>20%</t>
        </is>
      </c>
      <c r="E7" s="10" t="inlineStr">
        <is>
          <t>Там же</t>
        </is>
      </c>
    </row>
    <row r="8" ht="18" customHeight="1">
      <c r="B8" s="46" t="inlineStr">
        <is>
          <t>Комиссия WB — косметика</t>
        </is>
      </c>
      <c r="C8" s="46" t="inlineStr">
        <is>
          <t>10%</t>
        </is>
      </c>
      <c r="D8" s="46" t="inlineStr">
        <is>
          <t>20%</t>
        </is>
      </c>
      <c r="E8" s="47" t="inlineStr">
        <is>
          <t>Там же</t>
        </is>
      </c>
    </row>
    <row r="9" ht="18" customHeight="1">
      <c r="B9" s="48" t="inlineStr">
        <is>
          <t>Комиссия WB — электроника</t>
        </is>
      </c>
      <c r="C9" s="48" t="inlineStr">
        <is>
          <t>5%</t>
        </is>
      </c>
      <c r="D9" s="48" t="inlineStr">
        <is>
          <t>15%</t>
        </is>
      </c>
      <c r="E9" s="10" t="inlineStr">
        <is>
          <t>Там же</t>
        </is>
      </c>
    </row>
    <row r="10" ht="18" customHeight="1">
      <c r="B10" s="46" t="inlineStr">
        <is>
          <t>Комиссия Ozon — большинство категорий</t>
        </is>
      </c>
      <c r="C10" s="46" t="inlineStr">
        <is>
          <t>5%</t>
        </is>
      </c>
      <c r="D10" s="46" t="inlineStr">
        <is>
          <t>25%</t>
        </is>
      </c>
      <c r="E10" s="47" t="inlineStr">
        <is>
          <t>Кабинет → Комиссии и тарифы</t>
        </is>
      </c>
    </row>
    <row r="11" ht="18" customHeight="1">
      <c r="B11" s="48" t="inlineStr">
        <is>
          <t>Логистика до клиента (средний товар)</t>
        </is>
      </c>
      <c r="C11" s="48" t="inlineStr">
        <is>
          <t>50 ₽</t>
        </is>
      </c>
      <c r="D11" s="48" t="inlineStr">
        <is>
          <t>150 ₽</t>
        </is>
      </c>
      <c r="E11" s="10" t="inlineStr">
        <is>
          <t>Отчёт о реализации за прошлый месяц</t>
        </is>
      </c>
    </row>
    <row r="12" ht="18" customHeight="1">
      <c r="B12" s="46" t="inlineStr">
        <is>
          <t>Логистика крупногабаритного товара</t>
        </is>
      </c>
      <c r="C12" s="46" t="inlineStr">
        <is>
          <t>200 ₽</t>
        </is>
      </c>
      <c r="D12" s="46" t="inlineStr">
        <is>
          <t>1500 ₽</t>
        </is>
      </c>
      <c r="E12" s="47" t="inlineStr">
        <is>
          <t>Тариф считается по литражу</t>
        </is>
      </c>
    </row>
    <row r="13" ht="18" customHeight="1">
      <c r="B13" s="48" t="inlineStr">
        <is>
          <t>Обратная логистика / возврат</t>
        </is>
      </c>
      <c r="C13" s="48" t="inlineStr">
        <is>
          <t>40 ₽</t>
        </is>
      </c>
      <c r="D13" s="48" t="inlineStr">
        <is>
          <t>120 ₽</t>
        </is>
      </c>
      <c r="E13" s="10" t="inlineStr">
        <is>
          <t>Отчёт о реализации, статья «возвраты»</t>
        </is>
      </c>
    </row>
    <row r="14" ht="18" customHeight="1">
      <c r="B14" s="46" t="inlineStr">
        <is>
          <t>Хранение, ₽/мес за единицу</t>
        </is>
      </c>
      <c r="C14" s="46" t="inlineStr">
        <is>
          <t>5 ₽</t>
        </is>
      </c>
      <c r="D14" s="46" t="inlineStr">
        <is>
          <t>40 ₽</t>
        </is>
      </c>
      <c r="E14" s="47" t="inlineStr">
        <is>
          <t>Зависит от оборачиваемости и объёма</t>
        </is>
      </c>
    </row>
    <row r="15" ht="18" customHeight="1">
      <c r="B15" s="48" t="inlineStr">
        <is>
          <t>Упаковка и маркировка</t>
        </is>
      </c>
      <c r="C15" s="48" t="inlineStr">
        <is>
          <t>10 ₽</t>
        </is>
      </c>
      <c r="D15" s="48" t="inlineStr">
        <is>
          <t>60 ₽</t>
        </is>
      </c>
      <c r="E15" s="10" t="inlineStr">
        <is>
          <t>Ваша закупка упаковки + работа</t>
        </is>
      </c>
    </row>
    <row r="16" ht="18" customHeight="1">
      <c r="B16" s="46" t="inlineStr">
        <is>
          <t>Реклама (ДРР) — новая карточка</t>
        </is>
      </c>
      <c r="C16" s="46" t="inlineStr">
        <is>
          <t>25%</t>
        </is>
      </c>
      <c r="D16" s="46" t="inlineStr">
        <is>
          <t>45%</t>
        </is>
      </c>
      <c r="E16" s="47" t="inlineStr">
        <is>
          <t>Отчёт по рекламным расходам ÷ выручка</t>
        </is>
      </c>
    </row>
    <row r="17" ht="18" customHeight="1">
      <c r="B17" s="48" t="inlineStr">
        <is>
          <t>Реклама (ДРР) — раскрученная карточка</t>
        </is>
      </c>
      <c r="C17" s="48" t="inlineStr">
        <is>
          <t>7%</t>
        </is>
      </c>
      <c r="D17" s="48" t="inlineStr">
        <is>
          <t>15%</t>
        </is>
      </c>
      <c r="E17" s="10" t="inlineStr">
        <is>
          <t>Там же</t>
        </is>
      </c>
    </row>
    <row r="18" ht="18" customHeight="1">
      <c r="B18" s="46" t="inlineStr">
        <is>
          <t>Процент выкупа — одежда, обувь</t>
        </is>
      </c>
      <c r="C18" s="46" t="inlineStr">
        <is>
          <t>30%</t>
        </is>
      </c>
      <c r="D18" s="46" t="inlineStr">
        <is>
          <t>55%</t>
        </is>
      </c>
      <c r="E18" s="47" t="inlineStr">
        <is>
          <t>Статистика заказов в кабинете</t>
        </is>
      </c>
    </row>
    <row r="19" ht="18" customHeight="1">
      <c r="B19" s="48" t="inlineStr">
        <is>
          <t>Процент выкупа — дом, косметика, мелочи</t>
        </is>
      </c>
      <c r="C19" s="48" t="inlineStr">
        <is>
          <t>85%</t>
        </is>
      </c>
      <c r="D19" s="48" t="inlineStr">
        <is>
          <t>97%</t>
        </is>
      </c>
      <c r="E19" s="10" t="inlineStr">
        <is>
          <t>Там же</t>
        </is>
      </c>
    </row>
    <row r="20" ht="18" customHeight="1">
      <c r="B20" s="46" t="inlineStr">
        <is>
          <t>Налог УСН «Доходы» (ИП)</t>
        </is>
      </c>
      <c r="C20" s="46" t="inlineStr">
        <is>
          <t>6%</t>
        </is>
      </c>
      <c r="D20" s="46" t="inlineStr">
        <is>
          <t>6%</t>
        </is>
      </c>
      <c r="E20" s="47" t="inlineStr">
        <is>
          <t>Фиксированная ставка</t>
        </is>
      </c>
    </row>
    <row r="21" ht="18" customHeight="1">
      <c r="B21" s="48" t="inlineStr">
        <is>
          <t>Налог НПД (самозанятый, от юрлиц)</t>
        </is>
      </c>
      <c r="C21" s="48" t="inlineStr">
        <is>
          <t>6%</t>
        </is>
      </c>
      <c r="D21" s="48" t="inlineStr">
        <is>
          <t>6%</t>
        </is>
      </c>
      <c r="E21" s="10" t="inlineStr">
        <is>
          <t>4% с физлиц, 6% с юрлиц и площадок</t>
        </is>
      </c>
    </row>
    <row r="22" ht="18" customHeight="1">
      <c r="B22" s="46" t="inlineStr">
        <is>
          <t>Налог АУСН</t>
        </is>
      </c>
      <c r="C22" s="46" t="inlineStr">
        <is>
          <t>8%</t>
        </is>
      </c>
      <c r="D22" s="46" t="inlineStr">
        <is>
          <t>8%</t>
        </is>
      </c>
      <c r="E22" s="47" t="inlineStr">
        <is>
          <t>Доходы; 20% — доходы минус расходы</t>
        </is>
      </c>
    </row>
    <row r="23" ht="18" customHeight="1">
      <c r="B23" s="48" t="inlineStr">
        <is>
          <t>Налог УСН «Доходы минус расходы»</t>
        </is>
      </c>
      <c r="C23" s="48" t="inlineStr">
        <is>
          <t>15%</t>
        </is>
      </c>
      <c r="D23" s="48" t="inlineStr">
        <is>
          <t>15%</t>
        </is>
      </c>
      <c r="E23" s="10" t="inlineStr">
        <is>
          <t>Считается с разницы, а не с цены!</t>
        </is>
      </c>
    </row>
    <row r="25">
      <c r="B25" s="49" t="inlineStr">
        <is>
          <t>КАК ПРОВЕРИТЬ СВОЙ РАСЧЁТ</t>
        </is>
      </c>
    </row>
    <row r="26" ht="18" customHeight="1">
      <c r="B26" s="3" t="inlineStr">
        <is>
          <t>1. Возьмите отчёт о реализации маркетплейса за полный месяц.</t>
        </is>
      </c>
    </row>
    <row r="27" ht="18" customHeight="1">
      <c r="B27" s="3" t="inlineStr">
        <is>
          <t>2. Посчитайте: сколько денег пришло на счёт минус сколько вы заплатили за закупку проданного.</t>
        </is>
      </c>
    </row>
    <row r="28" ht="18" customHeight="1">
      <c r="B28" s="3" t="inlineStr">
        <is>
          <t>3. Разделите на количество проданных единиц — это ваша реальная прибыль с единицы.</t>
        </is>
      </c>
    </row>
    <row r="29" ht="18" customHeight="1">
      <c r="B29" s="3" t="inlineStr">
        <is>
          <t>4. Сравните с цифрой из листа «Калькулятор».</t>
        </is>
      </c>
    </row>
    <row r="30" ht="40" customHeight="1">
      <c r="B30" s="3" t="inlineStr">
        <is>
          <t>5. Расхождение до 15% — нормально (плавающий курс акций, разные партии). Больше 15% — вы занизили расходы. Чаще всего это реклама и логистика: в расчёт берут «средний тариф», а по факту выходит дороже из-за возвратов и хранения.</t>
        </is>
      </c>
    </row>
  </sheetData>
  <mergeCells count="7">
    <mergeCell ref="B26:E26"/>
    <mergeCell ref="B27:E27"/>
    <mergeCell ref="B30:E30"/>
    <mergeCell ref="B29:E29"/>
    <mergeCell ref="B3:E3"/>
    <mergeCell ref="B2:E2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2026-10-12T18:32:19Z</dcterms:created>
  <dcterms:modified xmlns:dcterms="http://purl.org/dc/terms/" xmlns:xsi="http://www.w3.org/2001/XMLSchema-instance" xsi:type="dcterms:W3CDTF">2026-10-12T18:32:19Z</dcterms:modified>
</cp:coreProperties>
</file>